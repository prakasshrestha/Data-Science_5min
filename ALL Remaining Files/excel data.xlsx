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<sst xmlns="http://schemas.openxmlformats.org/spreadsheetml/2006/main" count="143" uniqueCount="96">
  <si>
    <t>Roll_no</t>
  </si>
  <si>
    <t>Name</t>
  </si>
  <si>
    <t>Maths</t>
  </si>
  <si>
    <t>CS</t>
  </si>
  <si>
    <t>Maths_result</t>
  </si>
  <si>
    <t>CS_result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</si>
  <si>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</si>
  <si>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</si>
  <si>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</si>
  <si>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</si>
  <si>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</si>
  <si>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</si>
  <si>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</si>
  <si>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</si>
  <si>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</si>
  <si>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</si>
  <si>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SUM</t>
  </si>
  <si>
    <t>AVERAGE</t>
  </si>
  <si>
    <t>PRODUCT</t>
  </si>
  <si>
    <t>MEDIAN</t>
  </si>
  <si>
    <t>COUNT</t>
  </si>
  <si>
    <t>MAX</t>
  </si>
  <si>
    <t>MIN</t>
  </si>
  <si>
    <t>SUMIF</t>
  </si>
  <si>
    <t>IF</t>
  </si>
  <si>
    <t>OrderID</t>
  </si>
  <si>
    <t>OrderDate</t>
  </si>
  <si>
    <t>Region</t>
  </si>
  <si>
    <t>Salesperson</t>
  </si>
  <si>
    <t>Product</t>
  </si>
  <si>
    <t>Category</t>
  </si>
  <si>
    <t>UnitsSold</t>
  </si>
  <si>
    <t>UnitPrice</t>
  </si>
  <si>
    <t>DiscountPercent</t>
  </si>
  <si>
    <t>CustomerType</t>
  </si>
  <si>
    <t>Total</t>
  </si>
  <si>
    <t>Discount</t>
  </si>
  <si>
    <t>Final</t>
  </si>
  <si>
    <t>Percentage</t>
  </si>
  <si>
    <t>Maharashtra</t>
  </si>
  <si>
    <t>Rohit Sharma</t>
  </si>
  <si>
    <t>Dell Inspiron 15</t>
  </si>
  <si>
    <t>Laptops</t>
  </si>
  <si>
    <t>Retail Buyer</t>
  </si>
  <si>
    <t>Karnataka</t>
  </si>
  <si>
    <t>Priya Iyer</t>
  </si>
  <si>
    <t>Samsung Galaxy S22</t>
  </si>
  <si>
    <t>Smartphones</t>
  </si>
  <si>
    <t>Online Shopper</t>
  </si>
  <si>
    <t>Tamil Nadu</t>
  </si>
  <si>
    <t>Arjun Reddy</t>
  </si>
  <si>
    <t>Apple iPad Air</t>
  </si>
  <si>
    <t>Tablets</t>
  </si>
  <si>
    <t>Corporate Client</t>
  </si>
  <si>
    <t>Delhi</t>
  </si>
  <si>
    <t>Nisha Verma</t>
  </si>
  <si>
    <t>Sony WH-1000XM5</t>
  </si>
  <si>
    <t>Audio Devices</t>
  </si>
  <si>
    <t>Wholesale Dealer</t>
  </si>
  <si>
    <t>Gujarat</t>
  </si>
  <si>
    <t>Amit Patel</t>
  </si>
  <si>
    <t>Logitech MX Master 3</t>
  </si>
  <si>
    <t>Computer Accessories</t>
  </si>
  <si>
    <t>Distributor Account</t>
  </si>
  <si>
    <t>West Bengal</t>
  </si>
  <si>
    <t>Soumya Banerjee</t>
  </si>
  <si>
    <t>HP LaserJet M404</t>
  </si>
  <si>
    <t>Printers</t>
  </si>
  <si>
    <t>Government Office</t>
  </si>
  <si>
    <t>Telangana</t>
  </si>
  <si>
    <t>Karthik Rao</t>
  </si>
  <si>
    <t>Lenovo ThinkPad E14</t>
  </si>
  <si>
    <t>Business Laptops</t>
  </si>
  <si>
    <t>Startup Purchase</t>
  </si>
  <si>
    <t>Rajasthan</t>
  </si>
  <si>
    <t>Pooja Mehta</t>
  </si>
  <si>
    <t>Canon EOS 1500D</t>
  </si>
  <si>
    <t>Cameras</t>
  </si>
  <si>
    <t>Educational Institute</t>
  </si>
  <si>
    <t>Punjab</t>
  </si>
  <si>
    <t>Harpreet Singh</t>
  </si>
  <si>
    <t>Bajaj Majesty OTG</t>
  </si>
  <si>
    <t>Oven Appliances</t>
  </si>
  <si>
    <t>Local Retail Store</t>
  </si>
  <si>
    <t>Kerala</t>
  </si>
  <si>
    <t>Anjali Nair</t>
  </si>
  <si>
    <t>IFB Front Load Washer</t>
  </si>
  <si>
    <t>Home Appliances</t>
  </si>
  <si>
    <t>Premium Customer</t>
  </si>
  <si>
    <t>Match</t>
  </si>
  <si>
    <t>Index</t>
  </si>
  <si>
    <t>Vlookup</t>
  </si>
  <si>
    <t>Date-Time(Month)</t>
  </si>
  <si>
    <t>(Year)</t>
  </si>
  <si>
    <t>SUM of UnitsSold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</si>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</sst>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Sheet2!$B$25</c:f>
            </c:strRef>
          </c:cat>
          <c:val>
            <c:numRef>
              <c:f>Sheet2!$C$1:$C$11</c:f>
              <c:numCache/>
            </c:numRef>
          </c:val>
          <c:smooth val="0"/>
        </c:ser>
        <c:axId val="2044088380"/>
        <c:axId val="1400059328"/>
      </c:lineChart>
      <c:catAx>
        <c:axId val="2044088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059328"/>
      </c:catAx>
      <c:valAx>
        <c:axId val="1400059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0883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Sheet2!$F$2:$F$11</c:f>
            </c:strRef>
          </c:cat>
          <c:val>
            <c:numRef>
              <c:f>Sheet2!$G$2:$G$11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</xdr:colOff>
      <xdr:row>24</xdr:row>
      <xdr:rowOff>9525</xdr:rowOff>
    </xdr:from>
    <xdr:ext cx="3867150" cy="2381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552450</xdr:colOff>
      <xdr:row>49</xdr:row>
      <xdr:rowOff>180975</xdr:rowOff>
    </xdr:from>
    <xdr:ext cx="3867150" cy="2381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133350</xdr:colOff>
      <xdr:row>58</xdr:row>
      <xdr:rowOff>57150</xdr:rowOff>
    </xdr:from>
    <xdr:ext cx="5715000" cy="3533775"/>
    <xdr:pic>
      <xdr:nvPicPr>
        <xdr:cNvPr id="157925427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78</xdr:row>
      <xdr:rowOff>28575</xdr:rowOff>
    </xdr:from>
    <xdr:ext cx="5715000" cy="3533775"/>
    <xdr:pic>
      <xdr:nvPicPr>
        <xdr:cNvPr id="51310343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H11" sheet="Sheet2"/>
  </cacheSource>
  <cacheFields>
    <cacheField name="Region" numFmtId="0">
      <sharedItems>
        <s v="Maharashtra"/>
        <s v="Karnataka"/>
        <s v="Tamil Nadu"/>
        <s v="Delhi"/>
        <s v="Gujarat"/>
        <s v="West Bengal"/>
        <s v="Telangana"/>
        <s v="Rajasthan"/>
        <s v="Punjab"/>
        <s v="Kerala"/>
      </sharedItems>
    </cacheField>
    <cacheField name="Salesperson" numFmtId="0">
      <sharedItems>
        <s v="Rohit Sharma"/>
        <s v="Priya Iyer"/>
        <s v="Arjun Reddy"/>
        <s v="Nisha Verma"/>
        <s v="Amit Patel"/>
        <s v="Soumya Banerjee"/>
        <s v="Karthik Rao"/>
        <s v="Pooja Mehta"/>
        <s v="Harpreet Singh"/>
        <s v="Anjali Nair"/>
      </sharedItems>
    </cacheField>
    <cacheField name="Product" numFmtId="0">
      <sharedItems>
        <s v="Dell Inspiron 15"/>
        <s v="Samsung Galaxy S22"/>
        <s v="Apple iPad Air"/>
        <s v="Sony WH-1000XM5"/>
        <s v="Logitech MX Master 3"/>
        <s v="HP LaserJet M404"/>
        <s v="Lenovo ThinkPad E14"/>
        <s v="Canon EOS 1500D"/>
        <s v="Bajaj Majesty OTG"/>
        <s v="IFB Front Load Washer"/>
      </sharedItems>
    </cacheField>
    <cacheField name="Category" numFmtId="0">
      <sharedItems>
        <s v="Laptops"/>
        <s v="Smartphones"/>
        <s v="Tablets"/>
        <s v="Audio Devices"/>
        <s v="Computer Accessories"/>
        <s v="Printers"/>
        <s v="Business Laptops"/>
        <s v="Cameras"/>
        <s v="Oven Appliances"/>
        <s v="Home Appliances"/>
      </sharedItems>
    </cacheField>
    <cacheField name="UnitsSold" numFmtId="0">
      <sharedItems containsSemiMixedTypes="0" containsString="0" containsNumber="1" containsInteger="1">
        <n v="3.0"/>
        <n v="5.0"/>
        <n v="2.0"/>
        <n v="6.0"/>
        <n v="8.0"/>
        <n v="1.0"/>
        <n v="4.0"/>
        <n v="7.0"/>
      </sharedItems>
    </cacheField>
    <cacheField name="UnitPrice" numFmtId="0">
      <sharedItems containsSemiMixedTypes="0" containsString="0" containsNumber="1" containsInteger="1">
        <n v="58500.0"/>
        <n v="62000.0"/>
        <n v="71000.0"/>
        <n v="28999.0"/>
        <n v="8999.0"/>
        <n v="36500.0"/>
        <n v="74500.0"/>
        <n v="42999.0"/>
        <n v="12499.0"/>
        <n v="3399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30:F36" firstHeaderRow="0" firstDataRow="1" firstDataCol="1"/>
  <pivotFields>
    <pivotField name="Region" axis="axisRow" compact="0" outline="0" multipleItemSelectionAllowed="1" showAll="0" sortType="ascending">
      <items>
        <item x="3"/>
        <item h="1" x="4"/>
        <item x="1"/>
        <item h="1" x="9"/>
        <item x="0"/>
        <item x="8"/>
        <item h="1" x="7"/>
        <item h="1" x="2"/>
        <item h="1" x="6"/>
        <item h="1" x="5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Col" compact="0" outline="0" multipleItemSelectionAllowed="1" showAll="0" sortType="ascending">
      <items>
        <item x="3"/>
        <item x="6"/>
        <item x="7"/>
        <item x="4"/>
        <item x="9"/>
        <item x="0"/>
        <item x="8"/>
        <item x="5"/>
        <item x="1"/>
        <item x="2"/>
        <item t="default"/>
      </items>
    </pivotField>
    <pivotField name="Units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3"/>
  </colFields>
  <dataFields>
    <dataField name="SUM of UnitsSold" fld="4" baseField="0"/>
  </dataFields>
</pivotTableDefinition>
</file>

<file path=xl/pivotTables/pivotTable2.xml><?xml version="1.0" encoding="utf-8"?>
<pivotTableDefinition xmlns="http://schemas.openxmlformats.org/spreadsheetml/2006/main" name="Sheet2 2" cacheId="0" dataCaption="" compact="0" compactData="0">
  <location ref="A40:K51" firstHeaderRow="0" firstDataRow="1" firstDataCol="1"/>
  <pivotFields>
    <pivotField name="Region" axis="axisRow" compact="0" outline="0" multipleItemSelectionAllowed="1" showAll="0" sortType="ascending">
      <items>
        <item x="3"/>
        <item x="4"/>
        <item x="1"/>
        <item x="9"/>
        <item x="0"/>
        <item x="8"/>
        <item x="7"/>
        <item x="2"/>
        <item x="6"/>
        <item x="5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Col" compact="0" outline="0" multipleItemSelectionAllowed="1" showAll="0" sortType="ascending">
      <items>
        <item x="3"/>
        <item x="6"/>
        <item x="7"/>
        <item x="4"/>
        <item x="9"/>
        <item h="1" x="0"/>
        <item x="8"/>
        <item x="5"/>
        <item x="1"/>
        <item x="2"/>
        <item t="default"/>
      </items>
    </pivotField>
    <pivotField name="Units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3"/>
  </colFields>
  <dataFields>
    <dataField name="SUM of UnitsSold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12.0"/>
    <col customWidth="1" min="4" max="5" width="8.71"/>
    <col customWidth="1" min="6" max="6" width="11.71"/>
    <col customWidth="1" min="7" max="7" width="8.71"/>
    <col customWidth="1" min="8" max="8" width="12.0"/>
    <col customWidth="1" min="9" max="9" width="8.86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ht="14.25" customHeight="1">
      <c r="A2" s="1">
        <v>1.0</v>
      </c>
      <c r="B2" s="1" t="s">
        <v>6</v>
      </c>
      <c r="C2" s="1">
        <v>56.0</v>
      </c>
      <c r="D2" s="1">
        <v>90.0</v>
      </c>
      <c r="F2" s="1" t="str">
        <f t="shared" ref="F2:F11" si="1">IF(C2&lt;35,"FAIL","PASS")</f>
        <v>PASS</v>
      </c>
      <c r="G2" s="1" t="str">
        <f t="shared" ref="G2:G11" si="2">IF(D2&lt;35,"Fail","Pass")</f>
        <v>Pass</v>
      </c>
      <c r="I2" s="1" t="str">
        <f t="shared" ref="I2:I11" si="3">IF(C2&lt;35,"FAIL","PASS")</f>
        <v>PASS</v>
      </c>
    </row>
    <row r="3" ht="14.25" customHeight="1">
      <c r="A3" s="1">
        <v>2.0</v>
      </c>
      <c r="B3" s="1" t="s">
        <v>7</v>
      </c>
      <c r="C3" s="1">
        <v>65.0</v>
      </c>
      <c r="D3" s="1">
        <v>89.0</v>
      </c>
      <c r="F3" s="1" t="str">
        <f t="shared" si="1"/>
        <v>PASS</v>
      </c>
      <c r="G3" s="1" t="str">
        <f t="shared" si="2"/>
        <v>Pass</v>
      </c>
      <c r="I3" s="1" t="str">
        <f t="shared" si="3"/>
        <v>PASS</v>
      </c>
    </row>
    <row r="4" ht="14.25" customHeight="1">
      <c r="A4" s="1">
        <v>3.0</v>
      </c>
      <c r="B4" s="1" t="s">
        <v>8</v>
      </c>
      <c r="C4" s="1">
        <v>78.0</v>
      </c>
      <c r="D4" s="1">
        <v>77.0</v>
      </c>
      <c r="F4" s="1" t="str">
        <f t="shared" si="1"/>
        <v>PASS</v>
      </c>
      <c r="G4" s="1" t="str">
        <f t="shared" si="2"/>
        <v>Pass</v>
      </c>
      <c r="I4" s="1" t="str">
        <f t="shared" si="3"/>
        <v>PASS</v>
      </c>
    </row>
    <row r="5" ht="14.25" customHeight="1">
      <c r="A5" s="1">
        <v>4.0</v>
      </c>
      <c r="B5" s="1" t="s">
        <v>9</v>
      </c>
      <c r="C5" s="1">
        <v>98.0</v>
      </c>
      <c r="D5" s="1">
        <v>65.0</v>
      </c>
      <c r="F5" s="1" t="str">
        <f t="shared" si="1"/>
        <v>PASS</v>
      </c>
      <c r="G5" s="1" t="str">
        <f t="shared" si="2"/>
        <v>Pass</v>
      </c>
      <c r="I5" s="1" t="str">
        <f t="shared" si="3"/>
        <v>PASS</v>
      </c>
    </row>
    <row r="6" ht="14.25" customHeight="1">
      <c r="A6" s="1">
        <v>5.0</v>
      </c>
      <c r="B6" s="1" t="s">
        <v>10</v>
      </c>
      <c r="C6" s="1">
        <v>34.0</v>
      </c>
      <c r="D6" s="2">
        <v>63.0</v>
      </c>
      <c r="F6" s="1" t="str">
        <f t="shared" si="1"/>
        <v>FAIL</v>
      </c>
      <c r="G6" s="1" t="str">
        <f t="shared" si="2"/>
        <v>Pass</v>
      </c>
      <c r="I6" s="1" t="str">
        <f t="shared" si="3"/>
        <v>FAIL</v>
      </c>
    </row>
    <row r="7" ht="14.25" customHeight="1">
      <c r="A7" s="1">
        <v>6.0</v>
      </c>
      <c r="B7" s="1" t="s">
        <v>11</v>
      </c>
      <c r="C7" s="1">
        <v>57.0</v>
      </c>
      <c r="D7" s="1">
        <v>33.0</v>
      </c>
      <c r="F7" s="1" t="str">
        <f t="shared" si="1"/>
        <v>PASS</v>
      </c>
      <c r="G7" s="1" t="str">
        <f t="shared" si="2"/>
        <v>Fail</v>
      </c>
      <c r="I7" s="1" t="str">
        <f t="shared" si="3"/>
        <v>PASS</v>
      </c>
    </row>
    <row r="8" ht="14.25" customHeight="1">
      <c r="A8" s="1">
        <v>7.0</v>
      </c>
      <c r="B8" s="1" t="s">
        <v>12</v>
      </c>
      <c r="C8" s="1">
        <v>89.0</v>
      </c>
      <c r="D8" s="1">
        <v>47.0</v>
      </c>
      <c r="F8" s="1" t="str">
        <f t="shared" si="1"/>
        <v>PASS</v>
      </c>
      <c r="G8" s="1" t="str">
        <f t="shared" si="2"/>
        <v>Pass</v>
      </c>
      <c r="I8" s="1" t="str">
        <f t="shared" si="3"/>
        <v>PASS</v>
      </c>
    </row>
    <row r="9" ht="14.25" customHeight="1">
      <c r="A9" s="1">
        <v>8.0</v>
      </c>
      <c r="B9" s="1" t="s">
        <v>13</v>
      </c>
      <c r="C9" s="1">
        <v>44.0</v>
      </c>
      <c r="D9" s="2">
        <v>59.0</v>
      </c>
      <c r="F9" s="1" t="str">
        <f t="shared" si="1"/>
        <v>PASS</v>
      </c>
      <c r="G9" s="1" t="str">
        <f t="shared" si="2"/>
        <v>Pass</v>
      </c>
      <c r="I9" s="1" t="str">
        <f t="shared" si="3"/>
        <v>PASS</v>
      </c>
    </row>
    <row r="10" ht="14.25" customHeight="1">
      <c r="A10" s="1">
        <v>9.0</v>
      </c>
      <c r="B10" s="1" t="s">
        <v>14</v>
      </c>
      <c r="C10" s="1">
        <v>67.0</v>
      </c>
      <c r="D10" s="1">
        <v>66.0</v>
      </c>
      <c r="F10" s="1" t="str">
        <f t="shared" si="1"/>
        <v>PASS</v>
      </c>
      <c r="G10" s="1" t="str">
        <f t="shared" si="2"/>
        <v>Pass</v>
      </c>
      <c r="I10" s="1" t="str">
        <f t="shared" si="3"/>
        <v>PASS</v>
      </c>
    </row>
    <row r="11" ht="14.25" customHeight="1">
      <c r="A11" s="1">
        <v>10.0</v>
      </c>
      <c r="B11" s="1" t="s">
        <v>15</v>
      </c>
      <c r="C11" s="1">
        <v>87.0</v>
      </c>
      <c r="D11" s="1">
        <v>79.0</v>
      </c>
      <c r="F11" s="1" t="str">
        <f t="shared" si="1"/>
        <v>PASS</v>
      </c>
      <c r="G11" s="1" t="str">
        <f t="shared" si="2"/>
        <v>Pass</v>
      </c>
      <c r="I11" s="1" t="str">
        <f t="shared" si="3"/>
        <v>PASS</v>
      </c>
    </row>
    <row r="12" ht="14.25" customHeight="1">
      <c r="C12" s="1">
        <f>SUM(C2:C11)</f>
        <v>675</v>
      </c>
      <c r="D12" s="1">
        <f>AVERAGE(D2:D11)</f>
        <v>66.8</v>
      </c>
      <c r="F12" s="1">
        <f>COUNT(A2:A11)</f>
        <v>10</v>
      </c>
      <c r="I12" s="1">
        <f>SUM(C2:C11)</f>
        <v>675</v>
      </c>
    </row>
    <row r="13" ht="14.25" customHeight="1">
      <c r="D13" s="1">
        <f>PRODUCT(C12:D12)</f>
        <v>45090</v>
      </c>
      <c r="F13" s="1">
        <f>MAX(C2:C11)</f>
        <v>98</v>
      </c>
    </row>
    <row r="14" ht="14.25" customHeight="1">
      <c r="D14" s="1">
        <f>MEDIAN(D2:D13)</f>
        <v>66.4</v>
      </c>
      <c r="F14" s="1">
        <f>SUMIF(C2:C11,"&gt;50",D2:D11)</f>
        <v>546</v>
      </c>
      <c r="K14" s="3" t="s">
        <v>16</v>
      </c>
      <c r="L14" s="1">
        <f>SUM(D2:D11)</f>
        <v>668</v>
      </c>
    </row>
    <row r="15" ht="14.25" customHeight="1">
      <c r="B15" s="3" t="s">
        <v>16</v>
      </c>
      <c r="C15" s="1">
        <f>SUM(D2:D11)</f>
        <v>668</v>
      </c>
      <c r="K15" s="3" t="s">
        <v>17</v>
      </c>
      <c r="L15" s="1">
        <f>AVERAGE(D2:D11)</f>
        <v>66.8</v>
      </c>
    </row>
    <row r="16" ht="14.25" customHeight="1">
      <c r="B16" s="3" t="s">
        <v>17</v>
      </c>
      <c r="C16" s="1">
        <f>AVERAGE(D2:D11)</f>
        <v>66.8</v>
      </c>
      <c r="I16" s="1">
        <f>SUM(D2:D11)</f>
        <v>668</v>
      </c>
      <c r="K16" s="3" t="s">
        <v>17</v>
      </c>
      <c r="L16" s="1">
        <f>AVERAGE(C2:C11)</f>
        <v>67.5</v>
      </c>
    </row>
    <row r="17" ht="14.25" customHeight="1">
      <c r="B17" s="3" t="s">
        <v>17</v>
      </c>
      <c r="C17" s="1">
        <f>AVERAGE(C2:C11)</f>
        <v>67.5</v>
      </c>
      <c r="K17" s="3" t="s">
        <v>18</v>
      </c>
      <c r="L17" s="1">
        <f>PRODUCT(L15:L16)</f>
        <v>4509</v>
      </c>
    </row>
    <row r="18" ht="14.25" customHeight="1">
      <c r="B18" s="3" t="s">
        <v>18</v>
      </c>
      <c r="C18" s="1">
        <f>PRODUCT(C15:C16)</f>
        <v>44622.4</v>
      </c>
      <c r="K18" s="3" t="s">
        <v>19</v>
      </c>
      <c r="L18" s="1">
        <f>MEDIAN(C2:C11)</f>
        <v>66</v>
      </c>
    </row>
    <row r="19" ht="14.25" customHeight="1">
      <c r="B19" s="3" t="s">
        <v>19</v>
      </c>
      <c r="C19" s="1">
        <f>MEDIAN(C2:C11)</f>
        <v>66</v>
      </c>
      <c r="K19" s="3" t="s">
        <v>20</v>
      </c>
      <c r="L19" s="1">
        <f>COUNT(A2:A11)</f>
        <v>10</v>
      </c>
    </row>
    <row r="20" ht="14.25" customHeight="1">
      <c r="B20" s="3" t="s">
        <v>20</v>
      </c>
      <c r="C20" s="1">
        <f>COUNT(C2:C11)</f>
        <v>10</v>
      </c>
      <c r="H20" s="1">
        <f>AVERAGE(C2:C11)</f>
        <v>67.5</v>
      </c>
      <c r="K20" s="3" t="s">
        <v>21</v>
      </c>
      <c r="L20" s="1">
        <f>MAX(C2:C11)</f>
        <v>98</v>
      </c>
    </row>
    <row r="21" ht="14.25" customHeight="1">
      <c r="B21" s="3" t="s">
        <v>21</v>
      </c>
      <c r="C21" s="1">
        <f>MAX(C2:C11)</f>
        <v>98</v>
      </c>
      <c r="K21" s="3" t="s">
        <v>22</v>
      </c>
      <c r="L21" s="1">
        <f>MIN(C2:C11)</f>
        <v>34</v>
      </c>
    </row>
    <row r="22" ht="14.25" customHeight="1">
      <c r="B22" s="3" t="s">
        <v>22</v>
      </c>
      <c r="C22" s="1">
        <f>MIN(C2:C11)</f>
        <v>34</v>
      </c>
      <c r="K22" s="3" t="s">
        <v>23</v>
      </c>
      <c r="L22" s="1">
        <f>SUMIF(C2:C11,"&gt;50",D2:D11)</f>
        <v>546</v>
      </c>
    </row>
    <row r="23" ht="14.25" customHeight="1">
      <c r="B23" s="3" t="s">
        <v>23</v>
      </c>
      <c r="C23" s="1">
        <f>SUMIF(C2:C11,"&gt;50",D2:D11)</f>
        <v>546</v>
      </c>
      <c r="K23" s="3" t="s">
        <v>24</v>
      </c>
      <c r="L23" s="1" t="str">
        <f>IF(C8&gt;35,"PASS","FAIL")</f>
        <v>PASS</v>
      </c>
    </row>
    <row r="24" ht="14.25" customHeight="1">
      <c r="B24" s="3" t="s">
        <v>24</v>
      </c>
      <c r="C24" s="1" t="str">
        <f>IF(C6&gt;35,"PASS","FAIL")</f>
        <v>FAIL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0.86"/>
    <col customWidth="1" min="3" max="3" width="12.0"/>
    <col customWidth="1" min="4" max="4" width="16.0"/>
    <col customWidth="1" min="5" max="5" width="20.29"/>
    <col customWidth="1" min="6" max="6" width="20.0"/>
    <col customWidth="1" min="7" max="7" width="9.29"/>
    <col customWidth="1" min="8" max="8" width="12.0"/>
    <col customWidth="1" min="9" max="9" width="15.14"/>
    <col customWidth="1" min="10" max="10" width="18.71"/>
    <col customWidth="1" min="11" max="11" width="7.57"/>
    <col customWidth="1" min="12" max="12" width="8.57"/>
    <col customWidth="1" min="13" max="13" width="7.57"/>
    <col customWidth="1" min="14" max="14" width="10.57"/>
    <col customWidth="1" min="15" max="15" width="10.71"/>
  </cols>
  <sheetData>
    <row r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6"/>
    </row>
    <row r="2">
      <c r="A2" s="3">
        <v>2001.0</v>
      </c>
      <c r="B2" s="7">
        <v>45658.0</v>
      </c>
      <c r="C2" s="3" t="s">
        <v>39</v>
      </c>
      <c r="D2" s="3" t="s">
        <v>40</v>
      </c>
      <c r="E2" s="3" t="s">
        <v>41</v>
      </c>
      <c r="F2" s="3" t="s">
        <v>42</v>
      </c>
      <c r="G2" s="3">
        <v>3.0</v>
      </c>
      <c r="H2" s="3">
        <v>58500.0</v>
      </c>
      <c r="I2" s="3">
        <v>5.0</v>
      </c>
      <c r="J2" s="3" t="s">
        <v>43</v>
      </c>
      <c r="K2" s="1">
        <f t="shared" ref="K2:K11" si="1">G2*H2</f>
        <v>175500</v>
      </c>
      <c r="L2" s="1">
        <f t="shared" ref="L2:L3" si="2">K2*I2/100</f>
        <v>8775</v>
      </c>
      <c r="M2" s="1">
        <f t="shared" ref="M2:M3" si="3">K2-L2</f>
        <v>166725</v>
      </c>
      <c r="N2" s="1">
        <f t="shared" ref="N2:N3" si="4">(L2/K2)*100</f>
        <v>5</v>
      </c>
    </row>
    <row r="3">
      <c r="A3" s="3">
        <v>2002.0</v>
      </c>
      <c r="B3" s="7">
        <v>45689.0</v>
      </c>
      <c r="C3" s="3" t="s">
        <v>44</v>
      </c>
      <c r="D3" s="3" t="s">
        <v>45</v>
      </c>
      <c r="E3" s="3" t="s">
        <v>46</v>
      </c>
      <c r="F3" s="3" t="s">
        <v>47</v>
      </c>
      <c r="G3" s="3">
        <v>5.0</v>
      </c>
      <c r="H3" s="3">
        <v>62000.0</v>
      </c>
      <c r="I3" s="3">
        <v>7.0</v>
      </c>
      <c r="J3" s="3" t="s">
        <v>48</v>
      </c>
      <c r="K3" s="1">
        <f t="shared" si="1"/>
        <v>310000</v>
      </c>
      <c r="L3" s="1">
        <f t="shared" si="2"/>
        <v>21700</v>
      </c>
      <c r="M3" s="1">
        <f t="shared" si="3"/>
        <v>288300</v>
      </c>
      <c r="N3" s="1">
        <f t="shared" si="4"/>
        <v>7</v>
      </c>
    </row>
    <row r="4">
      <c r="A4" s="3">
        <v>2003.0</v>
      </c>
      <c r="B4" s="7">
        <v>45717.0</v>
      </c>
      <c r="C4" s="3" t="s">
        <v>49</v>
      </c>
      <c r="D4" s="3" t="s">
        <v>50</v>
      </c>
      <c r="E4" s="3" t="s">
        <v>51</v>
      </c>
      <c r="F4" s="3" t="s">
        <v>52</v>
      </c>
      <c r="G4" s="3">
        <v>2.0</v>
      </c>
      <c r="H4" s="3">
        <v>71000.0</v>
      </c>
      <c r="I4" s="3">
        <v>4.0</v>
      </c>
      <c r="J4" s="3" t="s">
        <v>53</v>
      </c>
      <c r="K4" s="1">
        <f t="shared" si="1"/>
        <v>142000</v>
      </c>
    </row>
    <row r="5">
      <c r="A5" s="3">
        <v>2004.0</v>
      </c>
      <c r="B5" s="7">
        <v>45748.0</v>
      </c>
      <c r="C5" s="3" t="s">
        <v>54</v>
      </c>
      <c r="D5" s="3" t="s">
        <v>55</v>
      </c>
      <c r="E5" s="3" t="s">
        <v>56</v>
      </c>
      <c r="F5" s="3" t="s">
        <v>57</v>
      </c>
      <c r="G5" s="3">
        <v>6.0</v>
      </c>
      <c r="H5" s="3">
        <v>28999.0</v>
      </c>
      <c r="I5" s="3">
        <v>6.0</v>
      </c>
      <c r="J5" s="3" t="s">
        <v>58</v>
      </c>
      <c r="K5" s="1">
        <f t="shared" si="1"/>
        <v>173994</v>
      </c>
    </row>
    <row r="6">
      <c r="A6" s="3">
        <v>2005.0</v>
      </c>
      <c r="B6" s="7">
        <v>45778.0</v>
      </c>
      <c r="C6" s="3" t="s">
        <v>59</v>
      </c>
      <c r="D6" s="3" t="s">
        <v>60</v>
      </c>
      <c r="E6" s="3" t="s">
        <v>61</v>
      </c>
      <c r="F6" s="3" t="s">
        <v>62</v>
      </c>
      <c r="G6" s="3">
        <v>8.0</v>
      </c>
      <c r="H6" s="3">
        <v>8999.0</v>
      </c>
      <c r="I6" s="3">
        <v>9.0</v>
      </c>
      <c r="J6" s="3" t="s">
        <v>63</v>
      </c>
      <c r="K6" s="1">
        <f t="shared" si="1"/>
        <v>71992</v>
      </c>
    </row>
    <row r="7">
      <c r="A7" s="3">
        <v>2006.0</v>
      </c>
      <c r="B7" s="7">
        <v>45809.0</v>
      </c>
      <c r="C7" s="3" t="s">
        <v>64</v>
      </c>
      <c r="D7" s="3" t="s">
        <v>65</v>
      </c>
      <c r="E7" s="3" t="s">
        <v>66</v>
      </c>
      <c r="F7" s="3" t="s">
        <v>67</v>
      </c>
      <c r="G7" s="3">
        <v>1.0</v>
      </c>
      <c r="H7" s="3">
        <v>36500.0</v>
      </c>
      <c r="I7" s="3">
        <v>3.0</v>
      </c>
      <c r="J7" s="3" t="s">
        <v>68</v>
      </c>
      <c r="K7" s="1">
        <f t="shared" si="1"/>
        <v>36500</v>
      </c>
    </row>
    <row r="8">
      <c r="A8" s="3">
        <v>2007.0</v>
      </c>
      <c r="B8" s="7">
        <v>45839.0</v>
      </c>
      <c r="C8" s="3" t="s">
        <v>69</v>
      </c>
      <c r="D8" s="3" t="s">
        <v>70</v>
      </c>
      <c r="E8" s="3" t="s">
        <v>71</v>
      </c>
      <c r="F8" s="3" t="s">
        <v>72</v>
      </c>
      <c r="G8" s="3">
        <v>4.0</v>
      </c>
      <c r="H8" s="3">
        <v>74500.0</v>
      </c>
      <c r="I8" s="3">
        <v>8.0</v>
      </c>
      <c r="J8" s="3" t="s">
        <v>73</v>
      </c>
      <c r="K8" s="1">
        <f t="shared" si="1"/>
        <v>298000</v>
      </c>
    </row>
    <row r="9">
      <c r="A9" s="3">
        <v>2008.0</v>
      </c>
      <c r="B9" s="7">
        <v>45870.0</v>
      </c>
      <c r="C9" s="3" t="s">
        <v>74</v>
      </c>
      <c r="D9" s="3" t="s">
        <v>75</v>
      </c>
      <c r="E9" s="3" t="s">
        <v>76</v>
      </c>
      <c r="F9" s="3" t="s">
        <v>77</v>
      </c>
      <c r="G9" s="3">
        <v>2.0</v>
      </c>
      <c r="H9" s="3">
        <v>42999.0</v>
      </c>
      <c r="I9" s="3">
        <v>10.0</v>
      </c>
      <c r="J9" s="3" t="s">
        <v>78</v>
      </c>
      <c r="K9" s="1">
        <f t="shared" si="1"/>
        <v>85998</v>
      </c>
    </row>
    <row r="10">
      <c r="A10" s="3">
        <v>2009.0</v>
      </c>
      <c r="B10" s="7">
        <v>45901.0</v>
      </c>
      <c r="C10" s="3" t="s">
        <v>79</v>
      </c>
      <c r="D10" s="3" t="s">
        <v>80</v>
      </c>
      <c r="E10" s="3" t="s">
        <v>81</v>
      </c>
      <c r="F10" s="3" t="s">
        <v>82</v>
      </c>
      <c r="G10" s="3">
        <v>7.0</v>
      </c>
      <c r="H10" s="3">
        <v>12499.0</v>
      </c>
      <c r="I10" s="3">
        <v>2.0</v>
      </c>
      <c r="J10" s="3" t="s">
        <v>83</v>
      </c>
      <c r="K10" s="1">
        <f t="shared" si="1"/>
        <v>87493</v>
      </c>
    </row>
    <row r="11">
      <c r="A11" s="3">
        <v>2010.0</v>
      </c>
      <c r="B11" s="7">
        <v>45931.0</v>
      </c>
      <c r="C11" s="3" t="s">
        <v>84</v>
      </c>
      <c r="D11" s="3" t="s">
        <v>85</v>
      </c>
      <c r="E11" s="3" t="s">
        <v>86</v>
      </c>
      <c r="F11" s="3" t="s">
        <v>87</v>
      </c>
      <c r="G11" s="3">
        <v>1.0</v>
      </c>
      <c r="H11" s="3">
        <v>33999.0</v>
      </c>
      <c r="I11" s="3">
        <v>1.0</v>
      </c>
      <c r="J11" s="3" t="s">
        <v>88</v>
      </c>
      <c r="K11" s="1">
        <f t="shared" si="1"/>
        <v>33999</v>
      </c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9">
      <c r="A19" s="8" t="s">
        <v>89</v>
      </c>
      <c r="B19" s="1">
        <f>MATCH("Samsung Galaxy S22",E2:E16,0)</f>
        <v>2</v>
      </c>
      <c r="D19" s="8" t="s">
        <v>90</v>
      </c>
      <c r="E19" s="1" t="str">
        <f t="array" ref="E19">INDEX(E2:E16,"1")</f>
        <v>Dell Inspiron 15</v>
      </c>
      <c r="G19" s="8" t="s">
        <v>91</v>
      </c>
      <c r="H19" s="1" t="str">
        <f>VLOOKUP(H20,D1:H11,3,0)</f>
        <v>Home Appliances</v>
      </c>
      <c r="J19" s="1" t="str">
        <f>VLOOKUP(H20,D1:H11,3,0)</f>
        <v>Home Appliances</v>
      </c>
    </row>
    <row r="20">
      <c r="A20" s="3" t="s">
        <v>76</v>
      </c>
      <c r="B20" s="1">
        <f>MATCH(A20,E2:E16,0)</f>
        <v>8</v>
      </c>
      <c r="D20" s="3">
        <v>4.0</v>
      </c>
      <c r="E20" s="1" t="str">
        <f t="array" ref="E20">INDEX(E2:E16,D20)</f>
        <v>Sony WH-1000XM5</v>
      </c>
      <c r="F20" s="1" t="str">
        <f t="array" ref="F20">INDEX(E2:E11,D20)</f>
        <v>Sony WH-1000XM5</v>
      </c>
      <c r="H20" s="3" t="s">
        <v>85</v>
      </c>
    </row>
    <row r="21">
      <c r="B21" s="1">
        <f>MATCH(A20,E2:E11,0)</f>
        <v>8</v>
      </c>
      <c r="E21" s="1" t="str">
        <f t="array" ref="E21">INDEX(E2:E11,D20)</f>
        <v>Sony WH-1000XM5</v>
      </c>
    </row>
    <row r="23">
      <c r="A23" s="3" t="s">
        <v>92</v>
      </c>
      <c r="B23" s="1">
        <f>MONTH(B2)</f>
        <v>1</v>
      </c>
      <c r="C23" s="1">
        <f>MONTH(B6)</f>
        <v>5</v>
      </c>
    </row>
    <row r="24">
      <c r="A24" s="3" t="s">
        <v>93</v>
      </c>
      <c r="B24" s="1">
        <f>YEAR(B2)</f>
        <v>2025</v>
      </c>
      <c r="C24" s="1">
        <f>DAY(B5)</f>
        <v>1</v>
      </c>
    </row>
    <row r="30"/>
    <row r="31"/>
    <row r="32"/>
    <row r="33"/>
    <row r="34"/>
    <row r="35"/>
    <row r="36"/>
    <row r="40"/>
    <row r="41"/>
    <row r="42"/>
    <row r="43"/>
    <row r="44"/>
    <row r="45"/>
    <row r="46"/>
    <row r="47"/>
    <row r="48"/>
    <row r="49"/>
    <row r="50"/>
    <row r="51"/>
  </sheetData>
  <drawing r:id="rId3"/>
</worksheet>
</file>